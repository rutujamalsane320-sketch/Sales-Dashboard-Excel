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0" yWindow="0" windowWidth="20490" windowHeight="9045" firstSheet="1" activeTab="3"/>
  </bookViews>
  <sheets>
    <sheet name="Product_sales_pivot" sheetId="4" r:id="rId1"/>
    <sheet name="categ_sales_pivot" sheetId="5" r:id="rId2"/>
    <sheet name="Monthly_Sales_Pivot" sheetId="6" r:id="rId3"/>
    <sheet name="final_dashboard" sheetId="7" r:id="rId4"/>
    <sheet name="Sales_Data" sheetId="1" r:id="rId5"/>
    <sheet name="KPIs" sheetId="2" r:id="rId6"/>
  </sheets>
  <calcPr calcId="152511"/>
  <pivotCaches>
    <pivotCache cacheId="5" r:id="rId7"/>
    <pivotCache cacheId="8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7" l="1"/>
  <c r="B4" i="7"/>
  <c r="B3" i="7"/>
  <c r="B2" i="7"/>
  <c r="H3" i="1"/>
  <c r="H4" i="1"/>
  <c r="H5" i="1"/>
  <c r="H6" i="1"/>
  <c r="H7" i="1"/>
  <c r="H8" i="1"/>
  <c r="H9" i="1"/>
  <c r="H2" i="1"/>
  <c r="B5" i="2"/>
  <c r="B4" i="2"/>
  <c r="B3" i="2"/>
  <c r="B2" i="2"/>
</calcChain>
</file>

<file path=xl/sharedStrings.xml><?xml version="1.0" encoding="utf-8"?>
<sst xmlns="http://schemas.openxmlformats.org/spreadsheetml/2006/main" count="61" uniqueCount="35">
  <si>
    <t>Order ID</t>
  </si>
  <si>
    <t>Date</t>
  </si>
  <si>
    <t>Product</t>
  </si>
  <si>
    <t>Category</t>
  </si>
  <si>
    <t>Quantity</t>
  </si>
  <si>
    <t>Price</t>
  </si>
  <si>
    <t>Sales</t>
  </si>
  <si>
    <t>Laptop</t>
  </si>
  <si>
    <t>Electronics</t>
  </si>
  <si>
    <t>Mobile</t>
  </si>
  <si>
    <t>Chair</t>
  </si>
  <si>
    <t>Furniture</t>
  </si>
  <si>
    <t>Table</t>
  </si>
  <si>
    <t>Headphones</t>
  </si>
  <si>
    <t>Printer</t>
  </si>
  <si>
    <t>Sofa</t>
  </si>
  <si>
    <t>Monitor</t>
  </si>
  <si>
    <t>KPI</t>
  </si>
  <si>
    <t>Result</t>
  </si>
  <si>
    <t>Total Sales</t>
  </si>
  <si>
    <t>Total Orders</t>
  </si>
  <si>
    <t>Average Sales</t>
  </si>
  <si>
    <t>Highest Sale</t>
  </si>
  <si>
    <t>Row Labels</t>
  </si>
  <si>
    <t>Grand Total</t>
  </si>
  <si>
    <t>Sum of Sales</t>
  </si>
  <si>
    <t>month</t>
  </si>
  <si>
    <t>Apr-2026</t>
  </si>
  <si>
    <t>Aug-2026</t>
  </si>
  <si>
    <t>Feb-2026</t>
  </si>
  <si>
    <t>Jan-2026</t>
  </si>
  <si>
    <t>Jul-2026</t>
  </si>
  <si>
    <t>Jun-2026</t>
  </si>
  <si>
    <t>Mar-2026</t>
  </si>
  <si>
    <t>May-2026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</si>
</sst>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/>
    <xf numFmtId="0" fontId="3" fillId="2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dashboard.xlsx]Product_sales_pivot!PivotTable1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Product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Product_sales_pivot!$B$3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Product_sales_pivot!$A$4:$A$12</c:f>
              <c:strCache>
                <c:ptCount val="8"/>
                <c:pt idx="0">
                  <c:v>Chair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Printer</c:v>
                </c:pt>
                <c:pt idx="6">
                  <c:v>Sofa</c:v>
                </c:pt>
                <c:pt idx="7">
                  <c:v>Table</c:v>
                </c:pt>
              </c:strCache>
            </c:strRef>
          </c:cat>
          <c:val>
            <c:numRef>
              <c:f>Product_sales_pivot!$B$4:$B$12</c:f>
              <c:numCache>
                <c:formatCode>General</c:formatCode>
                <c:ptCount val="8"/>
                <c:pt idx="0">
                  <c:v>15000</c:v>
                </c:pt>
                <c:pt idx="1">
                  <c:v>15000</c:v>
                </c:pt>
                <c:pt idx="2">
                  <c:v>100000</c:v>
                </c:pt>
                <c:pt idx="3">
                  <c:v>60000</c:v>
                </c:pt>
                <c:pt idx="4">
                  <c:v>48000</c:v>
                </c:pt>
                <c:pt idx="5">
                  <c:v>20000</c:v>
                </c:pt>
                <c:pt idx="6">
                  <c:v>25000</c:v>
                </c:pt>
                <c:pt idx="7">
                  <c:v>14000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713192"/>
        <c:axId val="333713584"/>
      </c:barChart>
      <c:catAx>
        <c:axId val="33371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13584"/>
        <c:crosses val="autoZero"/>
        <c:auto val="1"/>
        <c:lblAlgn val="ctr"/>
        <c:lblOffset val="100"/>
        <c:noMultiLvlLbl val="0"/>
      </c:catAx>
      <c:valAx>
        <c:axId val="33371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1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dashboard.xlsx]categ_sales_pivot!PivotTable2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Contribution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categ_sales_pivot!$B$3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categ_sales_pivot!$A$4:$A$6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categ_sales_pivot!$B$4:$B$6</c:f>
              <c:numCache>
                <c:formatCode>General</c:formatCode>
                <c:ptCount val="2"/>
                <c:pt idx="0">
                  <c:v>243000</c:v>
                </c:pt>
                <c:pt idx="1">
                  <c:v>54000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dashboard.xlsx]Monthly_Sales_Pivot!PivotTable3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Monthly_Sales_Pivot!$B$3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Monthly_Sales_Pivot!$A$4:$A$12</c:f>
              <c:strCache>
                <c:ptCount val="8"/>
                <c:pt idx="0">
                  <c:v>Apr-2026</c:v>
                </c:pt>
                <c:pt idx="1">
                  <c:v>Aug-2026</c:v>
                </c:pt>
                <c:pt idx="2">
                  <c:v>Feb-2026</c:v>
                </c:pt>
                <c:pt idx="3">
                  <c:v>Jan-2026</c:v>
                </c:pt>
                <c:pt idx="4">
                  <c:v>Jul-2026</c:v>
                </c:pt>
                <c:pt idx="5">
                  <c:v>Jun-2026</c:v>
                </c:pt>
                <c:pt idx="6">
                  <c:v>Mar-2026</c:v>
                </c:pt>
                <c:pt idx="7">
                  <c:v>May-2026</c:v>
                </c:pt>
              </c:strCache>
            </c:strRef>
          </c:cat>
          <c:val>
            <c:numRef>
              <c:f>Monthly_Sales_Pivot!$B$4:$B$12</c:f>
              <c:numCache>
                <c:formatCode>General</c:formatCode>
                <c:ptCount val="8"/>
                <c:pt idx="0">
                  <c:v>14000</c:v>
                </c:pt>
                <c:pt idx="1">
                  <c:v>48000</c:v>
                </c:pt>
                <c:pt idx="2">
                  <c:v>60000</c:v>
                </c:pt>
                <c:pt idx="3">
                  <c:v>100000</c:v>
                </c:pt>
                <c:pt idx="4">
                  <c:v>25000</c:v>
                </c:pt>
                <c:pt idx="5">
                  <c:v>20000</c:v>
                </c:pt>
                <c:pt idx="6">
                  <c:v>15000</c:v>
                </c:pt>
                <c:pt idx="7">
                  <c:v>15000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715544"/>
        <c:axId val="333709272"/>
      </c:lineChart>
      <c:catAx>
        <c:axId val="33371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09272"/>
        <c:crosses val="autoZero"/>
        <c:auto val="1"/>
        <c:lblAlgn val="ctr"/>
        <c:lblOffset val="100"/>
        <c:noMultiLvlLbl val="0"/>
      </c:catAx>
      <c:valAx>
        <c:axId val="33370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15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dashboard.xlsx]Product_sales_pivot!PivotTable1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Product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497496520059003"/>
          <c:y val="0.26984354713667907"/>
          <c:w val="0.66537967714457857"/>
          <c:h val="0.386955100363344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Product_sales_pivot!$B$3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Product_sales_pivot!$A$4:$A$12</c:f>
              <c:strCache>
                <c:ptCount val="8"/>
                <c:pt idx="0">
                  <c:v>Chair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Printer</c:v>
                </c:pt>
                <c:pt idx="6">
                  <c:v>Sofa</c:v>
                </c:pt>
                <c:pt idx="7">
                  <c:v>Table</c:v>
                </c:pt>
              </c:strCache>
            </c:strRef>
          </c:cat>
          <c:val>
            <c:numRef>
              <c:f>Product_sales_pivot!$B$4:$B$12</c:f>
              <c:numCache>
                <c:formatCode>General</c:formatCode>
                <c:ptCount val="8"/>
                <c:pt idx="0">
                  <c:v>15000</c:v>
                </c:pt>
                <c:pt idx="1">
                  <c:v>15000</c:v>
                </c:pt>
                <c:pt idx="2">
                  <c:v>100000</c:v>
                </c:pt>
                <c:pt idx="3">
                  <c:v>60000</c:v>
                </c:pt>
                <c:pt idx="4">
                  <c:v>48000</c:v>
                </c:pt>
                <c:pt idx="5">
                  <c:v>20000</c:v>
                </c:pt>
                <c:pt idx="6">
                  <c:v>25000</c:v>
                </c:pt>
                <c:pt idx="7">
                  <c:v>14000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337488"/>
        <c:axId val="332338272"/>
      </c:barChart>
      <c:catAx>
        <c:axId val="33233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338272"/>
        <c:crosses val="autoZero"/>
        <c:auto val="1"/>
        <c:lblAlgn val="ctr"/>
        <c:lblOffset val="100"/>
        <c:noMultiLvlLbl val="0"/>
      </c:catAx>
      <c:valAx>
        <c:axId val="3323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33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dashboard.xlsx]categ_sales_pivot!PivotTable2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Contribution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categ_sales_pivot!$B$3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categ_sales_pivot!$A$4:$A$6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categ_sales_pivot!$B$4:$B$6</c:f>
              <c:numCache>
                <c:formatCode>General</c:formatCode>
                <c:ptCount val="2"/>
                <c:pt idx="0">
                  <c:v>243000</c:v>
                </c:pt>
                <c:pt idx="1">
                  <c:v>54000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dashboard.xlsx]Monthly_Sales_Pivot!PivotTable3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Monthly_Sales_Pivot!$B$3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Monthly_Sales_Pivot!$A$4:$A$12</c:f>
              <c:strCache>
                <c:ptCount val="8"/>
                <c:pt idx="0">
                  <c:v>Apr-2026</c:v>
                </c:pt>
                <c:pt idx="1">
                  <c:v>Aug-2026</c:v>
                </c:pt>
                <c:pt idx="2">
                  <c:v>Feb-2026</c:v>
                </c:pt>
                <c:pt idx="3">
                  <c:v>Jan-2026</c:v>
                </c:pt>
                <c:pt idx="4">
                  <c:v>Jul-2026</c:v>
                </c:pt>
                <c:pt idx="5">
                  <c:v>Jun-2026</c:v>
                </c:pt>
                <c:pt idx="6">
                  <c:v>Mar-2026</c:v>
                </c:pt>
                <c:pt idx="7">
                  <c:v>May-2026</c:v>
                </c:pt>
              </c:strCache>
            </c:strRef>
          </c:cat>
          <c:val>
            <c:numRef>
              <c:f>Monthly_Sales_Pivot!$B$4:$B$12</c:f>
              <c:numCache>
                <c:formatCode>General</c:formatCode>
                <c:ptCount val="8"/>
                <c:pt idx="0">
                  <c:v>14000</c:v>
                </c:pt>
                <c:pt idx="1">
                  <c:v>48000</c:v>
                </c:pt>
                <c:pt idx="2">
                  <c:v>60000</c:v>
                </c:pt>
                <c:pt idx="3">
                  <c:v>100000</c:v>
                </c:pt>
                <c:pt idx="4">
                  <c:v>25000</c:v>
                </c:pt>
                <c:pt idx="5">
                  <c:v>20000</c:v>
                </c:pt>
                <c:pt idx="6">
                  <c:v>15000</c:v>
                </c:pt>
                <c:pt idx="7">
                  <c:v>15000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654600"/>
        <c:axId val="332333176"/>
      </c:lineChart>
      <c:catAx>
        <c:axId val="33165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333176"/>
        <c:crosses val="autoZero"/>
        <c:auto val="1"/>
        <c:lblAlgn val="ctr"/>
        <c:lblOffset val="100"/>
        <c:noMultiLvlLbl val="0"/>
      </c:catAx>
      <c:valAx>
        <c:axId val="33233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654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2</xdr:row>
      <xdr:rowOff>33337</xdr:rowOff>
    </xdr:from>
    <xdr:to>
      <xdr:col>15</xdr:col>
      <xdr:colOff>171450</xdr:colOff>
      <xdr:row>16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1</xdr:row>
      <xdr:rowOff>90487</xdr:rowOff>
    </xdr:from>
    <xdr:to>
      <xdr:col>15</xdr:col>
      <xdr:colOff>0</xdr:colOff>
      <xdr:row>15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0</xdr:row>
      <xdr:rowOff>166687</xdr:rowOff>
    </xdr:from>
    <xdr:to>
      <xdr:col>15</xdr:col>
      <xdr:colOff>409575</xdr:colOff>
      <xdr:row>15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8</xdr:row>
      <xdr:rowOff>95250</xdr:rowOff>
    </xdr:from>
    <xdr:to>
      <xdr:col>6</xdr:col>
      <xdr:colOff>514350</xdr:colOff>
      <xdr:row>22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66675</xdr:colOff>
      <xdr:row>0</xdr:row>
      <xdr:rowOff>76200</xdr:rowOff>
    </xdr:from>
    <xdr:to>
      <xdr:col>13</xdr:col>
      <xdr:colOff>95250</xdr:colOff>
      <xdr:row>8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171450</xdr:colOff>
      <xdr:row>8</xdr:row>
      <xdr:rowOff>104775</xdr:rowOff>
    </xdr:from>
    <xdr:to>
      <xdr:col>15</xdr:col>
      <xdr:colOff>476250</xdr:colOff>
      <xdr:row>22</xdr:row>
      <xdr:rowOff>180975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REE" refreshedDate="46190.51055486111" createdVersion="5" refreshedVersion="5" minRefreshableVersion="3" recordCount="8">
  <cacheSource type="worksheet">
    <worksheetSource ref="A1:G9" sheet="Sales_Data"/>
  </cacheSource>
  <cacheFields count="7">
    <cacheField name="Order ID" numFmtId="0">
      <sharedItems containsSemiMixedTypes="0" containsString="0" containsNumber="1" containsInteger="1" minValue="1001" maxValue="1008"/>
    </cacheField>
    <cacheField name="Date" numFmtId="14">
      <sharedItems containsDate="1" containsMixedTypes="1" minDate="2026-02-02T00:00:00" maxDate="2026-08-09T00:00:00"/>
    </cacheField>
    <cacheField name="Product" numFmtId="0">
      <sharedItems count="8">
        <s v="Laptop"/>
        <s v="Mobile"/>
        <s v="Chair"/>
        <s v="Table"/>
        <s v="Headphones"/>
        <s v="Printer"/>
        <s v="Sofa"/>
        <s v="Monitor"/>
      </sharedItems>
    </cacheField>
    <cacheField name="Category" numFmtId="0">
      <sharedItems count="2">
        <s v="Electronics"/>
        <s v="Furniture"/>
      </sharedItems>
    </cacheField>
    <cacheField name="Quantity" numFmtId="0">
      <sharedItems containsSemiMixedTypes="0" containsString="0" containsNumber="1" containsInteger="1" minValue="1" maxValue="10"/>
    </cacheField>
    <cacheField name="Price" numFmtId="0">
      <sharedItems containsSemiMixedTypes="0" containsString="0" containsNumber="1" containsInteger="1" minValue="1500" maxValue="50000"/>
    </cacheField>
    <cacheField name="Sales" numFmtId="0">
      <sharedItems containsSemiMixedTypes="0" containsString="0" containsNumber="1" containsInteger="1" minValue="14000" maxValue="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HREE" refreshedDate="46190.514236921299" createdVersion="5" refreshedVersion="5" minRefreshableVersion="3" recordCount="8">
  <cacheSource type="worksheet">
    <worksheetSource ref="A1:H9" sheet="Sales_Data"/>
  </cacheSource>
  <cacheFields count="8">
    <cacheField name="Order ID" numFmtId="0">
      <sharedItems containsSemiMixedTypes="0" containsString="0" containsNumber="1" containsInteger="1" minValue="1001" maxValue="1008"/>
    </cacheField>
    <cacheField name="Date" numFmtId="14">
      <sharedItems containsSemiMixedTypes="0" containsNonDate="0" containsDate="1" containsString="0" minDate="2026-01-01T00:00:00" maxDate="2026-08-09T00:00:00"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Price" numFmtId="0">
      <sharedItems containsSemiMixedTypes="0" containsString="0" containsNumber="1" containsInteger="1" minValue="1500" maxValue="50000"/>
    </cacheField>
    <cacheField name="Sales" numFmtId="0">
      <sharedItems containsSemiMixedTypes="0" containsString="0" containsNumber="1" containsInteger="1" minValue="14000" maxValue="100000"/>
    </cacheField>
    <cacheField name="month" numFmtId="0">
      <sharedItems count="8">
        <s v="Jan-2026"/>
        <s v="Feb-2026"/>
        <s v="Mar-2026"/>
        <s v="Apr-2026"/>
        <s v="May-2026"/>
        <s v="Jun-2026"/>
        <s v="Jul-2026"/>
        <s v="Aug-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n v="1001"/>
    <e v="#NAME?"/>
    <x v="0"/>
    <x v="0"/>
    <n v="2"/>
    <n v="50000"/>
    <n v="100000"/>
  </r>
  <r>
    <n v="1002"/>
    <d v="2026-02-02T00:00:00"/>
    <x v="1"/>
    <x v="0"/>
    <n v="3"/>
    <n v="20000"/>
    <n v="60000"/>
  </r>
  <r>
    <n v="1003"/>
    <d v="2026-03-03T00:00:00"/>
    <x v="2"/>
    <x v="1"/>
    <n v="5"/>
    <n v="3000"/>
    <n v="15000"/>
  </r>
  <r>
    <n v="1004"/>
    <d v="2026-04-04T00:00:00"/>
    <x v="3"/>
    <x v="1"/>
    <n v="2"/>
    <n v="7000"/>
    <n v="14000"/>
  </r>
  <r>
    <n v="1005"/>
    <d v="2026-05-05T00:00:00"/>
    <x v="4"/>
    <x v="0"/>
    <n v="10"/>
    <n v="1500"/>
    <n v="15000"/>
  </r>
  <r>
    <n v="1006"/>
    <d v="2026-06-06T00:00:00"/>
    <x v="5"/>
    <x v="0"/>
    <n v="2"/>
    <n v="10000"/>
    <n v="20000"/>
  </r>
  <r>
    <n v="1007"/>
    <d v="2026-07-07T00:00:00"/>
    <x v="6"/>
    <x v="1"/>
    <n v="1"/>
    <n v="25000"/>
    <n v="25000"/>
  </r>
  <r>
    <n v="1008"/>
    <d v="2026-08-08T00:00:00"/>
    <x v="7"/>
    <x v="0"/>
    <n v="4"/>
    <n v="12000"/>
    <n v="48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">
  <r>
    <n v="1001"/>
    <d v="2026-01-01T00:00:00"/>
    <s v="Laptop"/>
    <s v="Electronics"/>
    <n v="2"/>
    <n v="50000"/>
    <n v="100000"/>
    <x v="0"/>
  </r>
  <r>
    <n v="1002"/>
    <d v="2026-02-02T00:00:00"/>
    <s v="Mobile"/>
    <s v="Electronics"/>
    <n v="3"/>
    <n v="20000"/>
    <n v="60000"/>
    <x v="1"/>
  </r>
  <r>
    <n v="1003"/>
    <d v="2026-03-03T00:00:00"/>
    <s v="Chair"/>
    <s v="Furniture"/>
    <n v="5"/>
    <n v="3000"/>
    <n v="15000"/>
    <x v="2"/>
  </r>
  <r>
    <n v="1004"/>
    <d v="2026-04-04T00:00:00"/>
    <s v="Table"/>
    <s v="Furniture"/>
    <n v="2"/>
    <n v="7000"/>
    <n v="14000"/>
    <x v="3"/>
  </r>
  <r>
    <n v="1005"/>
    <d v="2026-05-05T00:00:00"/>
    <s v="Headphones"/>
    <s v="Electronics"/>
    <n v="10"/>
    <n v="1500"/>
    <n v="15000"/>
    <x v="4"/>
  </r>
  <r>
    <n v="1006"/>
    <d v="2026-06-06T00:00:00"/>
    <s v="Printer"/>
    <s v="Electronics"/>
    <n v="2"/>
    <n v="10000"/>
    <n v="20000"/>
    <x v="5"/>
  </r>
  <r>
    <n v="1007"/>
    <d v="2026-07-07T00:00:00"/>
    <s v="Sofa"/>
    <s v="Furniture"/>
    <n v="1"/>
    <n v="25000"/>
    <n v="25000"/>
    <x v="6"/>
  </r>
  <r>
    <n v="1008"/>
    <d v="2026-08-08T00:00:00"/>
    <s v="Monitor"/>
    <s v="Electronics"/>
    <n v="4"/>
    <n v="12000"/>
    <n v="4800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12" firstHeaderRow="1" firstDataRow="1" firstDataCol="1"/>
  <pivotFields count="7">
    <pivotField showAll="0"/>
    <pivotField showAll="0"/>
    <pivotField axis="axisRow" showAll="0">
      <items count="9">
        <item x="2"/>
        <item x="4"/>
        <item x="0"/>
        <item x="1"/>
        <item x="7"/>
        <item x="5"/>
        <item x="6"/>
        <item x="3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6" firstHeaderRow="1" firstDataRow="1" firstDataCol="1"/>
  <pivotFields count="7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6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12" firstHeaderRow="1" firstDataRow="1" firstDataCol="1"/>
  <pivotFields count="8">
    <pivotField showAll="0"/>
    <pivotField numFmtId="14" showAll="0"/>
    <pivotField showAll="0"/>
    <pivotField showAll="0"/>
    <pivotField showAll="0"/>
    <pivotField showAll="0"/>
    <pivotField dataField="1" showAll="0"/>
    <pivotField axis="axisRow" showAll="0">
      <items count="9">
        <item x="3"/>
        <item x="7"/>
        <item x="1"/>
        <item x="0"/>
        <item x="6"/>
        <item x="5"/>
        <item x="2"/>
        <item x="4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6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H9" totalsRowShown="0" headerRowDxfId="0" dataDxfId="1">
  <autoFilter ref="A1:H9"/>
  <tableColumns count="8">
    <tableColumn id="1" name="Order ID" dataDxfId="8"/>
    <tableColumn id="2" name="Date" dataDxfId="7"/>
    <tableColumn id="3" name="Product" dataDxfId="6"/>
    <tableColumn id="4" name="Category" dataDxfId="5"/>
    <tableColumn id="5" name="Quantity" dataDxfId="4"/>
    <tableColumn id="6" name="Price" dataDxfId="3"/>
    <tableColumn id="7" name="Sales" dataDxfId="2"/>
    <tableColumn id="8" name="month">
      <calculatedColumnFormula>TEXT(B2,"MMM-YYYY")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A3" sqref="A3:B12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5" t="s">
        <v>23</v>
      </c>
      <c r="B3" t="s">
        <v>25</v>
      </c>
    </row>
    <row r="4" spans="1:2" x14ac:dyDescent="0.25">
      <c r="A4" s="6" t="s">
        <v>10</v>
      </c>
      <c r="B4" s="7">
        <v>15000</v>
      </c>
    </row>
    <row r="5" spans="1:2" x14ac:dyDescent="0.25">
      <c r="A5" s="6" t="s">
        <v>13</v>
      </c>
      <c r="B5" s="7">
        <v>15000</v>
      </c>
    </row>
    <row r="6" spans="1:2" x14ac:dyDescent="0.25">
      <c r="A6" s="6" t="s">
        <v>7</v>
      </c>
      <c r="B6" s="7">
        <v>100000</v>
      </c>
    </row>
    <row r="7" spans="1:2" x14ac:dyDescent="0.25">
      <c r="A7" s="6" t="s">
        <v>9</v>
      </c>
      <c r="B7" s="7">
        <v>60000</v>
      </c>
    </row>
    <row r="8" spans="1:2" x14ac:dyDescent="0.25">
      <c r="A8" s="6" t="s">
        <v>16</v>
      </c>
      <c r="B8" s="7">
        <v>48000</v>
      </c>
    </row>
    <row r="9" spans="1:2" x14ac:dyDescent="0.25">
      <c r="A9" s="6" t="s">
        <v>14</v>
      </c>
      <c r="B9" s="7">
        <v>20000</v>
      </c>
    </row>
    <row r="10" spans="1:2" x14ac:dyDescent="0.25">
      <c r="A10" s="6" t="s">
        <v>15</v>
      </c>
      <c r="B10" s="7">
        <v>25000</v>
      </c>
    </row>
    <row r="11" spans="1:2" x14ac:dyDescent="0.25">
      <c r="A11" s="6" t="s">
        <v>12</v>
      </c>
      <c r="B11" s="7">
        <v>14000</v>
      </c>
    </row>
    <row r="12" spans="1:2" x14ac:dyDescent="0.25">
      <c r="A12" s="6" t="s">
        <v>24</v>
      </c>
      <c r="B12" s="7">
        <v>297000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:B6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5" t="s">
        <v>23</v>
      </c>
      <c r="B3" t="s">
        <v>25</v>
      </c>
    </row>
    <row r="4" spans="1:2" x14ac:dyDescent="0.25">
      <c r="A4" s="6" t="s">
        <v>8</v>
      </c>
      <c r="B4" s="7">
        <v>243000</v>
      </c>
    </row>
    <row r="5" spans="1:2" x14ac:dyDescent="0.25">
      <c r="A5" s="6" t="s">
        <v>11</v>
      </c>
      <c r="B5" s="7">
        <v>54000</v>
      </c>
    </row>
    <row r="6" spans="1:2" x14ac:dyDescent="0.25">
      <c r="A6" s="6" t="s">
        <v>24</v>
      </c>
      <c r="B6" s="7">
        <v>297000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E20" sqref="E20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5" t="s">
        <v>23</v>
      </c>
      <c r="B3" t="s">
        <v>25</v>
      </c>
    </row>
    <row r="4" spans="1:2" x14ac:dyDescent="0.25">
      <c r="A4" s="6" t="s">
        <v>27</v>
      </c>
      <c r="B4" s="7">
        <v>14000</v>
      </c>
    </row>
    <row r="5" spans="1:2" x14ac:dyDescent="0.25">
      <c r="A5" s="6" t="s">
        <v>28</v>
      </c>
      <c r="B5" s="7">
        <v>48000</v>
      </c>
    </row>
    <row r="6" spans="1:2" x14ac:dyDescent="0.25">
      <c r="A6" s="6" t="s">
        <v>29</v>
      </c>
      <c r="B6" s="7">
        <v>60000</v>
      </c>
    </row>
    <row r="7" spans="1:2" x14ac:dyDescent="0.25">
      <c r="A7" s="6" t="s">
        <v>30</v>
      </c>
      <c r="B7" s="7">
        <v>100000</v>
      </c>
    </row>
    <row r="8" spans="1:2" x14ac:dyDescent="0.25">
      <c r="A8" s="6" t="s">
        <v>31</v>
      </c>
      <c r="B8" s="7">
        <v>25000</v>
      </c>
    </row>
    <row r="9" spans="1:2" x14ac:dyDescent="0.25">
      <c r="A9" s="6" t="s">
        <v>32</v>
      </c>
      <c r="B9" s="7">
        <v>20000</v>
      </c>
    </row>
    <row r="10" spans="1:2" x14ac:dyDescent="0.25">
      <c r="A10" s="6" t="s">
        <v>33</v>
      </c>
      <c r="B10" s="7">
        <v>15000</v>
      </c>
    </row>
    <row r="11" spans="1:2" x14ac:dyDescent="0.25">
      <c r="A11" s="6" t="s">
        <v>34</v>
      </c>
      <c r="B11" s="7">
        <v>15000</v>
      </c>
    </row>
    <row r="12" spans="1:2" x14ac:dyDescent="0.25">
      <c r="A12" s="6" t="s">
        <v>24</v>
      </c>
      <c r="B12" s="7">
        <v>297000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2" sqref="C2"/>
    </sheetView>
  </sheetViews>
  <sheetFormatPr defaultRowHeight="15" x14ac:dyDescent="0.25"/>
  <sheetData>
    <row r="1" spans="1:2" x14ac:dyDescent="0.25">
      <c r="A1" s="1"/>
      <c r="B1" s="1"/>
    </row>
    <row r="2" spans="1:2" ht="30" x14ac:dyDescent="0.25">
      <c r="A2" s="8" t="s">
        <v>19</v>
      </c>
      <c r="B2" s="9">
        <f>KPIs!B2</f>
        <v>297000</v>
      </c>
    </row>
    <row r="3" spans="1:2" ht="30" x14ac:dyDescent="0.25">
      <c r="A3" s="8" t="s">
        <v>20</v>
      </c>
      <c r="B3" s="9">
        <f>KPIs!B3</f>
        <v>8</v>
      </c>
    </row>
    <row r="4" spans="1:2" ht="30" x14ac:dyDescent="0.25">
      <c r="A4" s="8" t="s">
        <v>21</v>
      </c>
      <c r="B4" s="10">
        <f>KPIs!B4</f>
        <v>37125</v>
      </c>
    </row>
    <row r="5" spans="1:2" ht="30" x14ac:dyDescent="0.25">
      <c r="A5" s="11" t="s">
        <v>22</v>
      </c>
      <c r="B5" s="12">
        <f>KPIs!B5</f>
        <v>100000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J2" sqref="J2"/>
    </sheetView>
  </sheetViews>
  <sheetFormatPr defaultRowHeight="15" x14ac:dyDescent="0.25"/>
  <cols>
    <col min="1" max="1" width="14.5703125" customWidth="1"/>
    <col min="2" max="2" width="12.42578125" customWidth="1"/>
    <col min="3" max="3" width="11.7109375" customWidth="1"/>
    <col min="4" max="4" width="15" customWidth="1"/>
    <col min="5" max="5" width="14.85546875" customWidth="1"/>
    <col min="6" max="6" width="12.42578125" customWidth="1"/>
    <col min="7" max="7" width="11.42578125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</row>
    <row r="2" spans="1:8" ht="30" x14ac:dyDescent="0.25">
      <c r="A2" s="2">
        <v>1001</v>
      </c>
      <c r="B2" s="3">
        <v>46023</v>
      </c>
      <c r="C2" s="2" t="s">
        <v>7</v>
      </c>
      <c r="D2" s="2" t="s">
        <v>8</v>
      </c>
      <c r="E2" s="2">
        <v>2</v>
      </c>
      <c r="F2" s="2">
        <v>50000</v>
      </c>
      <c r="G2" s="2">
        <v>100000</v>
      </c>
      <c r="H2" t="str">
        <f>TEXT(B2,"MMM-YYYY")</f>
        <v>Jan-2026</v>
      </c>
    </row>
    <row r="3" spans="1:8" ht="30" x14ac:dyDescent="0.25">
      <c r="A3" s="2">
        <v>1002</v>
      </c>
      <c r="B3" s="3">
        <v>46055</v>
      </c>
      <c r="C3" s="2" t="s">
        <v>9</v>
      </c>
      <c r="D3" s="2" t="s">
        <v>8</v>
      </c>
      <c r="E3" s="2">
        <v>3</v>
      </c>
      <c r="F3" s="2">
        <v>20000</v>
      </c>
      <c r="G3" s="2">
        <v>60000</v>
      </c>
      <c r="H3" t="str">
        <f t="shared" ref="H3:H9" si="0">TEXT(B3,"MMM-YYYY")</f>
        <v>Feb-2026</v>
      </c>
    </row>
    <row r="4" spans="1:8" ht="30" x14ac:dyDescent="0.25">
      <c r="A4" s="2">
        <v>1003</v>
      </c>
      <c r="B4" s="3">
        <v>46084</v>
      </c>
      <c r="C4" s="2" t="s">
        <v>10</v>
      </c>
      <c r="D4" s="2" t="s">
        <v>11</v>
      </c>
      <c r="E4" s="2">
        <v>5</v>
      </c>
      <c r="F4" s="2">
        <v>3000</v>
      </c>
      <c r="G4" s="2">
        <v>15000</v>
      </c>
      <c r="H4" t="str">
        <f t="shared" si="0"/>
        <v>Mar-2026</v>
      </c>
    </row>
    <row r="5" spans="1:8" ht="30" x14ac:dyDescent="0.25">
      <c r="A5" s="2">
        <v>1004</v>
      </c>
      <c r="B5" s="3">
        <v>46116</v>
      </c>
      <c r="C5" s="2" t="s">
        <v>12</v>
      </c>
      <c r="D5" s="2" t="s">
        <v>11</v>
      </c>
      <c r="E5" s="2">
        <v>2</v>
      </c>
      <c r="F5" s="2">
        <v>7000</v>
      </c>
      <c r="G5" s="2">
        <v>14000</v>
      </c>
      <c r="H5" t="str">
        <f t="shared" si="0"/>
        <v>Apr-2026</v>
      </c>
    </row>
    <row r="6" spans="1:8" ht="30" x14ac:dyDescent="0.25">
      <c r="A6" s="2">
        <v>1005</v>
      </c>
      <c r="B6" s="3">
        <v>46147</v>
      </c>
      <c r="C6" s="2" t="s">
        <v>13</v>
      </c>
      <c r="D6" s="2" t="s">
        <v>8</v>
      </c>
      <c r="E6" s="2">
        <v>10</v>
      </c>
      <c r="F6" s="2">
        <v>1500</v>
      </c>
      <c r="G6" s="2">
        <v>15000</v>
      </c>
      <c r="H6" t="str">
        <f t="shared" si="0"/>
        <v>May-2026</v>
      </c>
    </row>
    <row r="7" spans="1:8" ht="30" x14ac:dyDescent="0.25">
      <c r="A7" s="2">
        <v>1006</v>
      </c>
      <c r="B7" s="3">
        <v>46179</v>
      </c>
      <c r="C7" s="2" t="s">
        <v>14</v>
      </c>
      <c r="D7" s="2" t="s">
        <v>8</v>
      </c>
      <c r="E7" s="2">
        <v>2</v>
      </c>
      <c r="F7" s="2">
        <v>10000</v>
      </c>
      <c r="G7" s="2">
        <v>20000</v>
      </c>
      <c r="H7" t="str">
        <f t="shared" si="0"/>
        <v>Jun-2026</v>
      </c>
    </row>
    <row r="8" spans="1:8" ht="30" x14ac:dyDescent="0.25">
      <c r="A8" s="2">
        <v>1007</v>
      </c>
      <c r="B8" s="3">
        <v>46210</v>
      </c>
      <c r="C8" s="2" t="s">
        <v>15</v>
      </c>
      <c r="D8" s="2" t="s">
        <v>11</v>
      </c>
      <c r="E8" s="2">
        <v>1</v>
      </c>
      <c r="F8" s="2">
        <v>25000</v>
      </c>
      <c r="G8" s="2">
        <v>25000</v>
      </c>
      <c r="H8" t="str">
        <f t="shared" si="0"/>
        <v>Jul-2026</v>
      </c>
    </row>
    <row r="9" spans="1:8" ht="30" x14ac:dyDescent="0.25">
      <c r="A9" s="2">
        <v>1008</v>
      </c>
      <c r="B9" s="3">
        <v>46242</v>
      </c>
      <c r="C9" s="2" t="s">
        <v>16</v>
      </c>
      <c r="D9" s="2" t="s">
        <v>8</v>
      </c>
      <c r="E9" s="2">
        <v>4</v>
      </c>
      <c r="F9" s="2">
        <v>12000</v>
      </c>
      <c r="G9" s="2">
        <v>48000</v>
      </c>
      <c r="H9" t="str">
        <f t="shared" si="0"/>
        <v>Aug-2026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D5" sqref="D5"/>
    </sheetView>
  </sheetViews>
  <sheetFormatPr defaultRowHeight="15" x14ac:dyDescent="0.25"/>
  <sheetData>
    <row r="1" spans="1:8" x14ac:dyDescent="0.25">
      <c r="A1" t="s">
        <v>17</v>
      </c>
      <c r="B1" t="s">
        <v>18</v>
      </c>
      <c r="F1" s="1"/>
      <c r="G1" s="1"/>
      <c r="H1" s="1"/>
    </row>
    <row r="2" spans="1:8" ht="30" x14ac:dyDescent="0.25">
      <c r="A2" s="2" t="s">
        <v>19</v>
      </c>
      <c r="B2">
        <f>SUM(Sales_Data!G2:G9)</f>
        <v>297000</v>
      </c>
      <c r="F2" s="2"/>
      <c r="G2" s="4"/>
      <c r="H2" s="2"/>
    </row>
    <row r="3" spans="1:8" ht="30" x14ac:dyDescent="0.25">
      <c r="A3" s="2" t="s">
        <v>20</v>
      </c>
      <c r="B3">
        <f>COUNTA(Sales_Data!A2:A9)</f>
        <v>8</v>
      </c>
      <c r="F3" s="2"/>
      <c r="G3" s="4"/>
      <c r="H3" s="2"/>
    </row>
    <row r="4" spans="1:8" ht="30" x14ac:dyDescent="0.25">
      <c r="A4" s="2" t="s">
        <v>21</v>
      </c>
      <c r="B4">
        <f>AVERAGE(Sales_Data!G2:G9)</f>
        <v>37125</v>
      </c>
      <c r="F4" s="2"/>
      <c r="G4" s="4"/>
      <c r="H4" s="2"/>
    </row>
    <row r="5" spans="1:8" ht="30" x14ac:dyDescent="0.25">
      <c r="A5" s="2" t="s">
        <v>22</v>
      </c>
      <c r="B5">
        <f>MAX(Sales_Data!G2:G9)</f>
        <v>100000</v>
      </c>
      <c r="F5" s="2"/>
      <c r="G5" s="4"/>
      <c r="H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Product_sales_pivot</vt:lpstr>
      <vt:lpstr>categ_sales_pivot</vt:lpstr>
      <vt:lpstr>Monthly_Sales_Pivot</vt:lpstr>
      <vt:lpstr>final_dashboard</vt:lpstr>
      <vt:lpstr>Sales_Data</vt:lpstr>
      <vt:lpstr>KPIs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2026-06-17T06:36:01Z</dcterms:created>
  <dcterms:modified xsi:type="dcterms:W3CDTF">2026-06-17T07:11:48Z</dcterms:modified>
</cp:coreProperties>
</file>